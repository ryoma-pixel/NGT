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前提条件" sheetId="1" state="visible" r:id="rId1"/>
    <sheet name="公式価格（段階制）" sheetId="2" state="visible" r:id="rId2"/>
    <sheet name="OTA価格" sheetId="3" state="visible" r:id="rId3"/>
    <sheet name="現行価格の収支" sheetId="4" state="visible" r:id="rId4"/>
    <sheet name="9月実績（チャネル別）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¥#,##0;(¥#,##0);-"/>
    <numFmt numFmtId="165" formatCode="0.0%;(0.0%);-"/>
    <numFmt numFmtId="166" formatCode="0&quot;名&quot;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B7280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color rgb="000000FF"/>
    </font>
    <font>
      <name val="Arial"/>
      <sz val="10"/>
    </font>
    <font>
      <name val="Arial"/>
      <color rgb="00008000"/>
    </font>
    <font>
      <b val="1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5E7EB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0" pivotButton="0" quotePrefix="0" xfId="0"/>
    <xf numFmtId="0" fontId="0" fillId="3" borderId="0" pivotButton="0" quotePrefix="0" xfId="0"/>
    <xf numFmtId="0" fontId="4" fillId="0" borderId="0" pivotButton="0" quotePrefix="0" xfId="0"/>
    <xf numFmtId="164" fontId="6" fillId="0" borderId="0" pivotButton="0" quotePrefix="0" xfId="0"/>
    <xf numFmtId="165" fontId="6" fillId="4" borderId="0" pivotButton="0" quotePrefix="0" xfId="0"/>
    <xf numFmtId="164" fontId="6" fillId="4" borderId="0" pivotButton="0" quotePrefix="0" xfId="0"/>
    <xf numFmtId="165" fontId="6" fillId="0" borderId="0" pivotButton="0" quotePrefix="0" xfId="0"/>
    <xf numFmtId="166" fontId="4" fillId="0" borderId="1" pivotButton="0" quotePrefix="0" xfId="0"/>
    <xf numFmtId="164" fontId="6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5" fillId="0" borderId="0" pivotButton="0" quotePrefix="0" xfId="0"/>
    <xf numFmtId="0" fontId="7" fillId="0" borderId="0" pivotButton="0" quotePrefix="0" xfId="0"/>
    <xf numFmtId="0" fontId="4" fillId="0" borderId="1" pivotButton="0" quotePrefix="0" xfId="0"/>
    <xf numFmtId="164" fontId="8" fillId="0" borderId="1" pivotButton="0" quotePrefix="0" xfId="0"/>
    <xf numFmtId="0" fontId="6" fillId="0" borderId="1" pivotButton="0" quotePrefix="0" xfId="0"/>
    <xf numFmtId="164" fontId="5" fillId="0" borderId="0" pivotButton="0" quotePrefix="0" xfId="0"/>
    <xf numFmtId="164" fontId="4" fillId="0" borderId="0" pivotButton="0" quotePrefix="0" xfId="0"/>
    <xf numFmtId="0" fontId="9" fillId="0" borderId="0" applyAlignment="1" pivotButton="0" quotePrefix="0" xfId="0">
      <alignment wrapText="1"/>
    </xf>
    <xf numFmtId="164" fontId="0" fillId="0" borderId="0" pivotButton="0" quotePrefix="0" xfId="0"/>
    <xf numFmtId="165" fontId="0" fillId="0" borderId="0" pivotButton="0" quotePrefix="0" xfId="0"/>
    <xf numFmtId="0" fontId="9" fillId="0" borderId="0" pivotButton="0" quotePrefix="0" xfId="0"/>
    <xf numFmtId="164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8" customWidth="1" min="3" max="3"/>
    <col width="72" customWidth="1" min="4" max="4"/>
  </cols>
  <sheetData>
    <row r="1">
      <c r="A1" s="1" t="inlineStr">
        <is>
          <t>NGT ウォークツアー 価格モデル｜前提条件</t>
        </is>
      </c>
    </row>
    <row r="2">
      <c r="A2" s="2" t="inlineStr">
        <is>
          <t>凡例：青字＝入力値（変更可）／黄色塗り＝推測値のため要確認／黒字＝計算式。前提を変えると全シートが再計算されます。</t>
        </is>
      </c>
    </row>
    <row r="3">
      <c r="A3" s="2" t="inlineStr">
        <is>
          <t>最終更新：2026-10-02（手数料・システム利用料を LINKTIVITY 取引明細 2026/9 の実数に更新、ハンコの費用なしを反映、9月実績シートを追加）</t>
        </is>
      </c>
    </row>
    <row r="4">
      <c r="A4" s="3" t="inlineStr">
        <is>
          <t>項目</t>
        </is>
      </c>
      <c r="B4" s="3" t="inlineStr">
        <is>
          <t>値</t>
        </is>
      </c>
      <c r="C4" s="3" t="inlineStr">
        <is>
          <t>単位</t>
        </is>
      </c>
      <c r="D4" s="3" t="inlineStr">
        <is>
          <t>出典・備考</t>
        </is>
      </c>
    </row>
    <row r="5">
      <c r="A5" s="4" t="inlineStr">
        <is>
          <t>ガイド費（特別単価）</t>
        </is>
      </c>
      <c r="B5" s="5" t="n"/>
      <c r="C5" s="5" t="n"/>
      <c r="D5" s="5" t="n"/>
    </row>
    <row r="6">
      <c r="A6" s="6" t="inlineStr">
        <is>
          <t>参加者3名まで（2時間）</t>
        </is>
      </c>
      <c r="B6" s="7" t="n">
        <v>4500</v>
      </c>
      <c r="C6" s="6" t="inlineStr">
        <is>
          <t>円/回</t>
        </is>
      </c>
      <c r="D6" s="6" t="inlineStr">
        <is>
          <t>Reelu 伊藤様提示・最初の6ヶ月の特別単価（手数料込）</t>
        </is>
      </c>
    </row>
    <row r="7">
      <c r="A7" s="6" t="inlineStr">
        <is>
          <t>参加者4〜6名（2時間）</t>
        </is>
      </c>
      <c r="B7" s="7" t="n">
        <v>6000</v>
      </c>
      <c r="C7" s="6" t="inlineStr">
        <is>
          <t>円/回</t>
        </is>
      </c>
      <c r="D7" s="6" t="inlineStr">
        <is>
          <t>同上</t>
        </is>
      </c>
    </row>
    <row r="8">
      <c r="A8" s="6" t="inlineStr">
        <is>
          <t>参加者7名以上（2時間）</t>
        </is>
      </c>
      <c r="B8" s="7" t="n">
        <v>8000</v>
      </c>
      <c r="C8" s="6" t="inlineStr">
        <is>
          <t>円/回</t>
        </is>
      </c>
      <c r="D8" s="6" t="inlineStr">
        <is>
          <t>同上</t>
        </is>
      </c>
    </row>
    <row r="9">
      <c r="A9" s="4" t="inlineStr">
        <is>
          <t>ガイド費（通常単価・7ヶ月目以降）【参考：計算の基準は特別単価】</t>
        </is>
      </c>
      <c r="B9" s="5" t="n"/>
      <c r="C9" s="5" t="n"/>
      <c r="D9" s="5" t="n"/>
    </row>
    <row r="10">
      <c r="A10" s="6" t="inlineStr">
        <is>
          <t>基本料金（2時間・3名まで）</t>
        </is>
      </c>
      <c r="B10" s="7" t="n">
        <v>7980</v>
      </c>
      <c r="C10" s="6" t="inlineStr">
        <is>
          <t>円/回</t>
        </is>
      </c>
      <c r="D10" s="6" t="inlineStr">
        <is>
          <t>Reelu 通常：2時間7,980円（税込）</t>
        </is>
      </c>
    </row>
    <row r="11">
      <c r="A11" s="6" t="inlineStr">
        <is>
          <t>4名目以降の加算率（1名ごと）</t>
        </is>
      </c>
      <c r="B11" s="8" t="n">
        <v>0.05</v>
      </c>
      <c r="C11" s="6" t="inlineStr">
        <is>
          <t>率</t>
        </is>
      </c>
      <c r="D11" s="6" t="inlineStr">
        <is>
          <t>「4名以上は時給×5%ずつ追加」を「1名増えるごとに+5%」と解釈（推測・要確認）</t>
        </is>
      </c>
    </row>
    <row r="12">
      <c r="A12" s="4" t="inlineStr">
        <is>
          <t>その他の催行コスト</t>
        </is>
      </c>
      <c r="B12" s="5" t="n"/>
      <c r="C12" s="5" t="n"/>
      <c r="D12" s="5" t="n"/>
    </row>
    <row r="13">
      <c r="A13" s="6" t="inlineStr">
        <is>
          <t>ガイド交通費</t>
        </is>
      </c>
      <c r="B13" s="9" t="n">
        <v>1000</v>
      </c>
      <c r="C13" s="6" t="inlineStr">
        <is>
          <t>円/回</t>
        </is>
      </c>
      <c r="D13" s="6" t="inlineStr">
        <is>
          <t>実費精算。1回あたりの平均値は推測・要確認</t>
        </is>
      </c>
    </row>
    <row r="14">
      <c r="A14" s="6" t="inlineStr">
        <is>
          <t>公式直販のシステム利用料率</t>
        </is>
      </c>
      <c r="B14" s="10" t="n">
        <v>0.07000000000000001</v>
      </c>
      <c r="C14" s="6" t="inlineStr">
        <is>
          <t>率</t>
        </is>
      </c>
      <c r="D14" s="6" t="inlineStr">
        <is>
          <t>実数：LINKTIVITY取引明細（2026/9）。総額に対して7%（決済込み）</t>
        </is>
      </c>
    </row>
    <row r="15">
      <c r="A15" s="6" t="inlineStr">
        <is>
          <t>目標利益率（催行1回あたり）</t>
        </is>
      </c>
      <c r="B15" s="10" t="n">
        <v>0.25</v>
      </c>
      <c r="C15" s="6" t="inlineStr">
        <is>
          <t>率</t>
        </is>
      </c>
      <c r="D15" s="6" t="inlineStr">
        <is>
          <t>広告費・運営費を賄うための粗利目標（提案値）</t>
        </is>
      </c>
    </row>
    <row r="16">
      <c r="A16" s="4" t="inlineStr">
        <is>
          <t>現行価格（参考）</t>
        </is>
      </c>
      <c r="B16" s="5" t="n"/>
      <c r="C16" s="5" t="n"/>
      <c r="D16" s="5" t="n"/>
    </row>
    <row r="17">
      <c r="A17" s="6" t="inlineStr">
        <is>
          <t>現行 公式価格（1名あたり）</t>
        </is>
      </c>
      <c r="B17" s="7" t="n">
        <v>2500</v>
      </c>
      <c r="C17" s="6" t="inlineStr">
        <is>
          <t>円/人</t>
        </is>
      </c>
      <c r="D17" s="6" t="inlineStr">
        <is>
          <t>実数：LINKTIVITY取引明細（2026/9）の公式直販の単価</t>
        </is>
      </c>
    </row>
    <row r="18">
      <c r="A18" s="6" t="inlineStr">
        <is>
          <t>現行 OTA価格（1名あたり）</t>
        </is>
      </c>
      <c r="B18" s="7" t="n">
        <v>3000</v>
      </c>
      <c r="C18" s="6" t="inlineStr">
        <is>
          <t>円/人</t>
        </is>
      </c>
      <c r="D18" s="6" t="inlineStr">
        <is>
          <t>実数：LINKTIVITY取引明細（2026/9）。Klook・Travelers Road とも1名¥3,000</t>
        </is>
      </c>
    </row>
    <row r="19">
      <c r="A19" t="inlineStr">
        <is>
          <t>ハンコツアーの催行コスト（ガイド費・材料費）</t>
        </is>
      </c>
      <c r="B19" s="7" t="n">
        <v>0</v>
      </c>
      <c r="C19" t="inlineStr">
        <is>
          <t>円/回</t>
        </is>
      </c>
      <c r="D19" t="inlineStr">
        <is>
          <t>ご本人確認 2026-10-02：費用はかからない</t>
        </is>
      </c>
    </row>
    <row r="20">
      <c r="A20" s="4" t="inlineStr">
        <is>
          <t>チャネル別の手数料</t>
        </is>
      </c>
      <c r="B20" s="5" t="n"/>
      <c r="C20" s="5" t="n"/>
      <c r="D20" s="5" t="n"/>
    </row>
    <row r="21">
      <c r="A21" s="4" t="n"/>
      <c r="B21" s="5" t="n"/>
      <c r="C21" s="5" t="n"/>
      <c r="D21" s="5" t="n"/>
    </row>
    <row r="22">
      <c r="A22" s="6" t="inlineStr">
        <is>
          <t>Viator</t>
        </is>
      </c>
      <c r="B22" s="8" t="n">
        <v>0.25</v>
      </c>
      <c r="C22" s="6" t="inlineStr">
        <is>
          <t>率</t>
        </is>
      </c>
      <c r="D22" s="6" t="inlineStr">
        <is>
          <t>業界一般値の仮置き（推測）。LINKTIVITY経由の実際の契約料率に差し替え</t>
        </is>
      </c>
    </row>
    <row r="23">
      <c r="A23" s="6" t="inlineStr">
        <is>
          <t>GetYourGuide</t>
        </is>
      </c>
      <c r="B23" s="8" t="n">
        <v>0.25</v>
      </c>
      <c r="C23" s="6" t="inlineStr">
        <is>
          <t>率</t>
        </is>
      </c>
      <c r="D23" s="6" t="inlineStr">
        <is>
          <t>業界一般値の仮置き（推測）。LINKTIVITY経由の実際の契約料率に差し替え</t>
        </is>
      </c>
    </row>
    <row r="24">
      <c r="A24" s="6" t="inlineStr">
        <is>
          <t>Klook</t>
        </is>
      </c>
      <c r="B24" s="10" t="n">
        <v>0.2</v>
      </c>
      <c r="C24" s="6" t="inlineStr">
        <is>
          <t>率</t>
        </is>
      </c>
      <c r="D24" s="6" t="inlineStr">
        <is>
          <t>実数：LINKTIVITY取引明細（2026/9）</t>
        </is>
      </c>
    </row>
    <row r="25">
      <c r="A25" s="6" t="inlineStr">
        <is>
          <t>KKday</t>
        </is>
      </c>
      <c r="B25" s="8" t="n">
        <v>0.2</v>
      </c>
      <c r="C25" s="6" t="inlineStr">
        <is>
          <t>率</t>
        </is>
      </c>
      <c r="D25" s="6" t="inlineStr">
        <is>
          <t>業界一般値の仮置き（推測）。LINKTIVITY経由の実際の契約料率に差し替え</t>
        </is>
      </c>
    </row>
    <row r="26">
      <c r="A26" s="6" t="inlineStr">
        <is>
          <t>VELTRA</t>
        </is>
      </c>
      <c r="B26" s="8" t="n">
        <v>0.2</v>
      </c>
      <c r="C26" s="6" t="inlineStr">
        <is>
          <t>率</t>
        </is>
      </c>
      <c r="D26" s="6" t="inlineStr">
        <is>
          <t>業界一般値の仮置き（推測）。LINKTIVITY経由の実際の契約料率に差し替え</t>
        </is>
      </c>
    </row>
    <row r="27">
      <c r="A27" s="6" t="inlineStr">
        <is>
          <t>Travelers Road（卸）</t>
        </is>
      </c>
      <c r="B27" s="10" t="n">
        <v>0.17</v>
      </c>
      <c r="C27" s="6" t="inlineStr">
        <is>
          <t>率</t>
        </is>
      </c>
      <c r="D27" s="6" t="inlineStr">
        <is>
          <t>実数：LINKTIVITY取引明細（2026/9）</t>
        </is>
      </c>
    </row>
    <row r="28">
      <c r="A28" t="inlineStr">
        <is>
          <t>Private Group</t>
        </is>
      </c>
      <c r="B28" s="10" t="n">
        <v>0.17</v>
      </c>
      <c r="C28" t="inlineStr">
        <is>
          <t>率</t>
        </is>
      </c>
      <c r="D28" t="inlineStr">
        <is>
          <t>実数：LINKTIVITY取引明細（2026/9）</t>
        </is>
      </c>
    </row>
    <row r="29">
      <c r="A29" t="inlineStr">
        <is>
          <t>OTA経由のシステム利用料率</t>
        </is>
      </c>
      <c r="B29" s="10" t="n">
        <v>0.03</v>
      </c>
      <c r="C29" t="inlineStr">
        <is>
          <t>率</t>
        </is>
      </c>
      <c r="D29" t="inlineStr">
        <is>
          <t>実数：LINKTIVITY取引明細（2026/9）。OTA手数料とは別に総額の3%。キャンセル時に戻る条件は要確認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1" customWidth="1" min="4" max="4"/>
    <col width="15" customWidth="1" min="5" max="5"/>
    <col width="10" customWidth="1" min="6" max="6"/>
    <col width="14" customWidth="1" min="7" max="7"/>
    <col width="11" customWidth="1" min="8" max="8"/>
    <col width="15" customWidth="1" min="9" max="9"/>
    <col width="14" customWidth="1" min="10" max="10"/>
    <col width="11" customWidth="1" min="11" max="11"/>
    <col width="18" customWidth="1" min="12" max="12"/>
    <col width="18" customWidth="1" min="13" max="13"/>
  </cols>
  <sheetData>
    <row r="1">
      <c r="A1" s="1" t="inlineStr">
        <is>
          <t>公式サイト価格（大人1名あたり・人数による段階制）と催行1回あたりの収支</t>
        </is>
      </c>
    </row>
    <row r="2">
      <c r="A2" s="2" t="inlineStr">
        <is>
          <t>B5〜B8（青字）が提案価格。1名／2名／3名／4名以上の4段階で、4名以上は同額。利益の計算はReelu特別単価（現状の単価）が基準。通常単価の列は特別単価終了後の参考。</t>
        </is>
      </c>
    </row>
    <row r="4" ht="45" customHeight="1">
      <c r="A4" s="3" t="inlineStr">
        <is>
          <t>予約人数（大人）</t>
        </is>
      </c>
      <c r="B4" s="3" t="inlineStr">
        <is>
          <t>1名あたり価格</t>
        </is>
      </c>
      <c r="C4" s="3" t="inlineStr">
        <is>
          <t>予約総額</t>
        </is>
      </c>
      <c r="D4" s="3" t="inlineStr">
        <is>
          <t>決済手数料</t>
        </is>
      </c>
      <c r="E4" s="3" t="inlineStr">
        <is>
          <t>ガイド費（特別単価）</t>
        </is>
      </c>
      <c r="F4" s="3" t="inlineStr">
        <is>
          <t>交通費</t>
        </is>
      </c>
      <c r="G4" s="3" t="inlineStr">
        <is>
          <t>利益（特別単価）</t>
        </is>
      </c>
      <c r="H4" s="3" t="inlineStr">
        <is>
          <t>利益率（特別）</t>
        </is>
      </c>
      <c r="I4" s="3" t="inlineStr">
        <is>
          <t>ガイド費（通常単価）【参考】</t>
        </is>
      </c>
      <c r="J4" s="3" t="inlineStr">
        <is>
          <t>利益（通常単価）【参考】</t>
        </is>
      </c>
      <c r="K4" s="3" t="inlineStr">
        <is>
          <t>利益率（通常）【参考】</t>
        </is>
      </c>
      <c r="L4" s="3" t="inlineStr">
        <is>
          <t>目標利益率に必要な1名単価（特別）</t>
        </is>
      </c>
      <c r="M4" s="3" t="inlineStr">
        <is>
          <t>目標利益率に必要な1名単価（通常）【参考】</t>
        </is>
      </c>
    </row>
    <row r="5">
      <c r="A5" s="11" t="n">
        <v>1</v>
      </c>
      <c r="B5" s="12" t="n">
        <v>8000</v>
      </c>
      <c r="C5" s="13">
        <f>A5*B5</f>
        <v/>
      </c>
      <c r="D5" s="13">
        <f>C5*前提条件!$B$14</f>
        <v/>
      </c>
      <c r="E5" s="13">
        <f>IF(A5&lt;=3,前提条件!$B$6,IF(A5&lt;=6,前提条件!$B$7,前提条件!$B$8))</f>
        <v/>
      </c>
      <c r="F5" s="13">
        <f>前提条件!$B$13</f>
        <v/>
      </c>
      <c r="G5" s="13">
        <f>C5-D5-E5-F5</f>
        <v/>
      </c>
      <c r="H5" s="14">
        <f>IF(C5=0,0,G5/C5)</f>
        <v/>
      </c>
      <c r="I5" s="13">
        <f>前提条件!$B$10*(1+前提条件!$B$11*MAX(0,A5-3))</f>
        <v/>
      </c>
      <c r="J5" s="13">
        <f>C5-D5-I5-F5</f>
        <v/>
      </c>
      <c r="K5" s="14">
        <f>IF(C5=0,0,J5/C5)</f>
        <v/>
      </c>
      <c r="L5" s="13">
        <f>ROUNDUP((E5+F5)/(A5*(1-前提条件!$B$14-前提条件!$B$15)),-2)</f>
        <v/>
      </c>
      <c r="M5" s="13">
        <f>ROUNDUP((I5+F5)/(A5*(1-前提条件!$B$14-前提条件!$B$15)),-2)</f>
        <v/>
      </c>
    </row>
    <row r="6">
      <c r="A6" s="11" t="n">
        <v>2</v>
      </c>
      <c r="B6" s="12" t="n">
        <v>4000</v>
      </c>
      <c r="C6" s="13">
        <f>A6*B6</f>
        <v/>
      </c>
      <c r="D6" s="13">
        <f>C6*前提条件!$B$14</f>
        <v/>
      </c>
      <c r="E6" s="13">
        <f>IF(A6&lt;=3,前提条件!$B$6,IF(A6&lt;=6,前提条件!$B$7,前提条件!$B$8))</f>
        <v/>
      </c>
      <c r="F6" s="13">
        <f>前提条件!$B$13</f>
        <v/>
      </c>
      <c r="G6" s="13">
        <f>C6-D6-E6-F6</f>
        <v/>
      </c>
      <c r="H6" s="14">
        <f>IF(C6=0,0,G6/C6)</f>
        <v/>
      </c>
      <c r="I6" s="13">
        <f>前提条件!$B$10*(1+前提条件!$B$11*MAX(0,A6-3))</f>
        <v/>
      </c>
      <c r="J6" s="13">
        <f>C6-D6-I6-F6</f>
        <v/>
      </c>
      <c r="K6" s="14">
        <f>IF(C6=0,0,J6/C6)</f>
        <v/>
      </c>
      <c r="L6" s="13">
        <f>ROUNDUP((E6+F6)/(A6*(1-前提条件!$B$14-前提条件!$B$15)),-2)</f>
        <v/>
      </c>
      <c r="M6" s="13">
        <f>ROUNDUP((I6+F6)/(A6*(1-前提条件!$B$14-前提条件!$B$15)),-2)</f>
        <v/>
      </c>
    </row>
    <row r="7">
      <c r="A7" s="11" t="n">
        <v>3</v>
      </c>
      <c r="B7" s="12" t="n">
        <v>2800</v>
      </c>
      <c r="C7" s="13">
        <f>A7*B7</f>
        <v/>
      </c>
      <c r="D7" s="13">
        <f>C7*前提条件!$B$14</f>
        <v/>
      </c>
      <c r="E7" s="13">
        <f>IF(A7&lt;=3,前提条件!$B$6,IF(A7&lt;=6,前提条件!$B$7,前提条件!$B$8))</f>
        <v/>
      </c>
      <c r="F7" s="13">
        <f>前提条件!$B$13</f>
        <v/>
      </c>
      <c r="G7" s="13">
        <f>C7-D7-E7-F7</f>
        <v/>
      </c>
      <c r="H7" s="14">
        <f>IF(C7=0,0,G7/C7)</f>
        <v/>
      </c>
      <c r="I7" s="13">
        <f>前提条件!$B$10*(1+前提条件!$B$11*MAX(0,A7-3))</f>
        <v/>
      </c>
      <c r="J7" s="13">
        <f>C7-D7-I7-F7</f>
        <v/>
      </c>
      <c r="K7" s="14">
        <f>IF(C7=0,0,J7/C7)</f>
        <v/>
      </c>
      <c r="L7" s="13">
        <f>ROUNDUP((E7+F7)/(A7*(1-前提条件!$B$14-前提条件!$B$15)),-2)</f>
        <v/>
      </c>
      <c r="M7" s="13">
        <f>ROUNDUP((I7+F7)/(A7*(1-前提条件!$B$14-前提条件!$B$15)),-2)</f>
        <v/>
      </c>
    </row>
    <row r="8">
      <c r="A8" s="11" t="n">
        <v>4</v>
      </c>
      <c r="B8" s="12" t="n">
        <v>2500</v>
      </c>
      <c r="C8" s="13">
        <f>A8*B8</f>
        <v/>
      </c>
      <c r="D8" s="13">
        <f>C8*前提条件!$B$14</f>
        <v/>
      </c>
      <c r="E8" s="13">
        <f>IF(A8&lt;=3,前提条件!$B$6,IF(A8&lt;=6,前提条件!$B$7,前提条件!$B$8))</f>
        <v/>
      </c>
      <c r="F8" s="13">
        <f>前提条件!$B$13</f>
        <v/>
      </c>
      <c r="G8" s="13">
        <f>C8-D8-E8-F8</f>
        <v/>
      </c>
      <c r="H8" s="14">
        <f>IF(C8=0,0,G8/C8)</f>
        <v/>
      </c>
      <c r="I8" s="13">
        <f>前提条件!$B$10*(1+前提条件!$B$11*MAX(0,A8-3))</f>
        <v/>
      </c>
      <c r="J8" s="13">
        <f>C8-D8-I8-F8</f>
        <v/>
      </c>
      <c r="K8" s="14">
        <f>IF(C8=0,0,J8/C8)</f>
        <v/>
      </c>
      <c r="L8" s="13">
        <f>ROUNDUP((E8+F8)/(A8*(1-前提条件!$B$14-前提条件!$B$15)),-2)</f>
        <v/>
      </c>
      <c r="M8" s="13">
        <f>ROUNDUP((I8+F8)/(A8*(1-前提条件!$B$14-前提条件!$B$15)),-2)</f>
        <v/>
      </c>
    </row>
    <row r="9">
      <c r="A9" s="11" t="n">
        <v>5</v>
      </c>
      <c r="B9" s="13">
        <f>$B$8</f>
        <v/>
      </c>
      <c r="C9" s="13">
        <f>A9*B9</f>
        <v/>
      </c>
      <c r="D9" s="13">
        <f>C9*前提条件!$B$14</f>
        <v/>
      </c>
      <c r="E9" s="13">
        <f>IF(A9&lt;=3,前提条件!$B$6,IF(A9&lt;=6,前提条件!$B$7,前提条件!$B$8))</f>
        <v/>
      </c>
      <c r="F9" s="13">
        <f>前提条件!$B$13</f>
        <v/>
      </c>
      <c r="G9" s="13">
        <f>C9-D9-E9-F9</f>
        <v/>
      </c>
      <c r="H9" s="14">
        <f>IF(C9=0,0,G9/C9)</f>
        <v/>
      </c>
      <c r="I9" s="13">
        <f>前提条件!$B$10*(1+前提条件!$B$11*MAX(0,A9-3))</f>
        <v/>
      </c>
      <c r="J9" s="13">
        <f>C9-D9-I9-F9</f>
        <v/>
      </c>
      <c r="K9" s="14">
        <f>IF(C9=0,0,J9/C9)</f>
        <v/>
      </c>
      <c r="L9" s="13">
        <f>ROUNDUP((E9+F9)/(A9*(1-前提条件!$B$14-前提条件!$B$15)),-2)</f>
        <v/>
      </c>
      <c r="M9" s="13">
        <f>ROUNDUP((I9+F9)/(A9*(1-前提条件!$B$14-前提条件!$B$15)),-2)</f>
        <v/>
      </c>
    </row>
    <row r="10">
      <c r="A10" s="11" t="n">
        <v>6</v>
      </c>
      <c r="B10" s="13">
        <f>$B$8</f>
        <v/>
      </c>
      <c r="C10" s="13">
        <f>A10*B10</f>
        <v/>
      </c>
      <c r="D10" s="13">
        <f>C10*前提条件!$B$14</f>
        <v/>
      </c>
      <c r="E10" s="13">
        <f>IF(A10&lt;=3,前提条件!$B$6,IF(A10&lt;=6,前提条件!$B$7,前提条件!$B$8))</f>
        <v/>
      </c>
      <c r="F10" s="13">
        <f>前提条件!$B$13</f>
        <v/>
      </c>
      <c r="G10" s="13">
        <f>C10-D10-E10-F10</f>
        <v/>
      </c>
      <c r="H10" s="14">
        <f>IF(C10=0,0,G10/C10)</f>
        <v/>
      </c>
      <c r="I10" s="13">
        <f>前提条件!$B$10*(1+前提条件!$B$11*MAX(0,A10-3))</f>
        <v/>
      </c>
      <c r="J10" s="13">
        <f>C10-D10-I10-F10</f>
        <v/>
      </c>
      <c r="K10" s="14">
        <f>IF(C10=0,0,J10/C10)</f>
        <v/>
      </c>
      <c r="L10" s="13">
        <f>ROUNDUP((E10+F10)/(A10*(1-前提条件!$B$14-前提条件!$B$15)),-2)</f>
        <v/>
      </c>
      <c r="M10" s="13">
        <f>ROUNDUP((I10+F10)/(A10*(1-前提条件!$B$14-前提条件!$B$15)),-2)</f>
        <v/>
      </c>
    </row>
    <row r="11">
      <c r="A11" s="11" t="n">
        <v>7</v>
      </c>
      <c r="B11" s="13">
        <f>$B$8</f>
        <v/>
      </c>
      <c r="C11" s="13">
        <f>A11*B11</f>
        <v/>
      </c>
      <c r="D11" s="13">
        <f>C11*前提条件!$B$14</f>
        <v/>
      </c>
      <c r="E11" s="13">
        <f>IF(A11&lt;=3,前提条件!$B$6,IF(A11&lt;=6,前提条件!$B$7,前提条件!$B$8))</f>
        <v/>
      </c>
      <c r="F11" s="13">
        <f>前提条件!$B$13</f>
        <v/>
      </c>
      <c r="G11" s="13">
        <f>C11-D11-E11-F11</f>
        <v/>
      </c>
      <c r="H11" s="14">
        <f>IF(C11=0,0,G11/C11)</f>
        <v/>
      </c>
      <c r="I11" s="13">
        <f>前提条件!$B$10*(1+前提条件!$B$11*MAX(0,A11-3))</f>
        <v/>
      </c>
      <c r="J11" s="13">
        <f>C11-D11-I11-F11</f>
        <v/>
      </c>
      <c r="K11" s="14">
        <f>IF(C11=0,0,J11/C11)</f>
        <v/>
      </c>
      <c r="L11" s="13">
        <f>ROUNDUP((E11+F11)/(A11*(1-前提条件!$B$14-前提条件!$B$15)),-2)</f>
        <v/>
      </c>
      <c r="M11" s="13">
        <f>ROUNDUP((I11+F11)/(A11*(1-前提条件!$B$14-前提条件!$B$15)),-2)</f>
        <v/>
      </c>
    </row>
    <row r="12">
      <c r="A12" s="11" t="n">
        <v>8</v>
      </c>
      <c r="B12" s="13">
        <f>$B$8</f>
        <v/>
      </c>
      <c r="C12" s="13">
        <f>A12*B12</f>
        <v/>
      </c>
      <c r="D12" s="13">
        <f>C12*前提条件!$B$14</f>
        <v/>
      </c>
      <c r="E12" s="13">
        <f>IF(A12&lt;=3,前提条件!$B$6,IF(A12&lt;=6,前提条件!$B$7,前提条件!$B$8))</f>
        <v/>
      </c>
      <c r="F12" s="13">
        <f>前提条件!$B$13</f>
        <v/>
      </c>
      <c r="G12" s="13">
        <f>C12-D12-E12-F12</f>
        <v/>
      </c>
      <c r="H12" s="14">
        <f>IF(C12=0,0,G12/C12)</f>
        <v/>
      </c>
      <c r="I12" s="13">
        <f>前提条件!$B$10*(1+前提条件!$B$11*MAX(0,A12-3))</f>
        <v/>
      </c>
      <c r="J12" s="13">
        <f>C12-D12-I12-F12</f>
        <v/>
      </c>
      <c r="K12" s="14">
        <f>IF(C12=0,0,J12/C12)</f>
        <v/>
      </c>
      <c r="L12" s="13">
        <f>ROUNDUP((E12+F12)/(A12*(1-前提条件!$B$14-前提条件!$B$15)),-2)</f>
        <v/>
      </c>
      <c r="M12" s="13">
        <f>ROUNDUP((I12+F12)/(A12*(1-前提条件!$B$14-前提条件!$B$15)),-2)</f>
        <v/>
      </c>
    </row>
    <row r="13">
      <c r="A13" s="11" t="n">
        <v>9</v>
      </c>
      <c r="B13" s="13">
        <f>$B$8</f>
        <v/>
      </c>
      <c r="C13" s="13">
        <f>A13*B13</f>
        <v/>
      </c>
      <c r="D13" s="13">
        <f>C13*前提条件!$B$14</f>
        <v/>
      </c>
      <c r="E13" s="13">
        <f>IF(A13&lt;=3,前提条件!$B$6,IF(A13&lt;=6,前提条件!$B$7,前提条件!$B$8))</f>
        <v/>
      </c>
      <c r="F13" s="13">
        <f>前提条件!$B$13</f>
        <v/>
      </c>
      <c r="G13" s="13">
        <f>C13-D13-E13-F13</f>
        <v/>
      </c>
      <c r="H13" s="14">
        <f>IF(C13=0,0,G13/C13)</f>
        <v/>
      </c>
      <c r="I13" s="13">
        <f>前提条件!$B$10*(1+前提条件!$B$11*MAX(0,A13-3))</f>
        <v/>
      </c>
      <c r="J13" s="13">
        <f>C13-D13-I13-F13</f>
        <v/>
      </c>
      <c r="K13" s="14">
        <f>IF(C13=0,0,J13/C13)</f>
        <v/>
      </c>
      <c r="L13" s="13">
        <f>ROUNDUP((E13+F13)/(A13*(1-前提条件!$B$14-前提条件!$B$15)),-2)</f>
        <v/>
      </c>
      <c r="M13" s="13">
        <f>ROUNDUP((I13+F13)/(A13*(1-前提条件!$B$14-前提条件!$B$15)),-2)</f>
        <v/>
      </c>
    </row>
    <row r="14">
      <c r="A14" s="11" t="n">
        <v>10</v>
      </c>
      <c r="B14" s="13">
        <f>$B$8</f>
        <v/>
      </c>
      <c r="C14" s="13">
        <f>A14*B14</f>
        <v/>
      </c>
      <c r="D14" s="13">
        <f>C14*前提条件!$B$14</f>
        <v/>
      </c>
      <c r="E14" s="13">
        <f>IF(A14&lt;=3,前提条件!$B$6,IF(A14&lt;=6,前提条件!$B$7,前提条件!$B$8))</f>
        <v/>
      </c>
      <c r="F14" s="13">
        <f>前提条件!$B$13</f>
        <v/>
      </c>
      <c r="G14" s="13">
        <f>C14-D14-E14-F14</f>
        <v/>
      </c>
      <c r="H14" s="14">
        <f>IF(C14=0,0,G14/C14)</f>
        <v/>
      </c>
      <c r="I14" s="13">
        <f>前提条件!$B$10*(1+前提条件!$B$11*MAX(0,A14-3))</f>
        <v/>
      </c>
      <c r="J14" s="13">
        <f>C14-D14-I14-F14</f>
        <v/>
      </c>
      <c r="K14" s="14">
        <f>IF(C14=0,0,J14/C14)</f>
        <v/>
      </c>
      <c r="L14" s="13">
        <f>ROUNDUP((E14+F14)/(A14*(1-前提条件!$B$14-前提条件!$B$15)),-2)</f>
        <v/>
      </c>
      <c r="M14" s="13">
        <f>ROUNDUP((I14+F14)/(A14*(1-前提条件!$B$14-前提条件!$B$15)),-2)</f>
        <v/>
      </c>
    </row>
    <row r="16">
      <c r="A16" s="15" t="inlineStr">
        <is>
          <t>読み方</t>
        </is>
      </c>
    </row>
    <row r="17">
      <c r="A17" s="16" t="inlineStr">
        <is>
          <t>・G列：Reelu特別単価（最初の6ヶ月）での催行1回あたり利益。全人数で黒字になるよう設計。</t>
        </is>
      </c>
    </row>
    <row r="18">
      <c r="A18" s="16" t="inlineStr">
        <is>
          <t>・J列：通常単価に戻った場合の利益。1〜3名は赤字になるため、特別単価の終了前に価格改定またはReeluとの単価交渉が必要。</t>
        </is>
      </c>
    </row>
    <row r="19">
      <c r="A19" s="16" t="inlineStr">
        <is>
          <t>・L列・M列：前提条件の目標利益率を満たすために必要な最低単価（100円単位で切り上げ）。価格を決める際の下限の目安。</t>
        </is>
      </c>
    </row>
    <row r="20">
      <c r="A20" s="16" t="inlineStr">
        <is>
          <t>・12歳以下：何人でも無料（大人の同伴が必要、2026-09-25確定）。子どもがガイド費の人数区分に数えられる場合は、その分だけ利益が下振れする。</t>
        </is>
      </c>
    </row>
    <row r="21">
      <c r="A21" s="16" t="inlineStr">
        <is>
          <t>・1回の催行＝1予約を前提に計算（実績では52予約中50予約が単独催行）。同じ枠に別予約が相乗りした分は上振れ要因。</t>
        </is>
      </c>
    </row>
    <row r="22">
      <c r="A22" s="16" t="inlineStr">
        <is>
          <t>・ハンコ代・スイーツ代などツアー固有の材料費は含まない。ハンコツアーは費用がかからないため段階制の対象外（「OTA価格」シートの一律行）。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OTA販売価格（公式価格にOTA手数料を上乗せ）</t>
        </is>
      </c>
    </row>
    <row r="2">
      <c r="A2" s="2" t="inlineStr">
        <is>
          <t>計算式：OTA価格 ＝ 公式価格 ×（1 − 公式直販のシステム利用料率）÷（1 − OTA手数料率 − OTA経由のシステム利用料率）を100円単位で切り上げ。どのチャネルで売れても手取りが公式と同じになる（2026-10-02 実数で改定）。</t>
        </is>
      </c>
    </row>
    <row r="4" ht="32" customHeight="1">
      <c r="A4" s="3" t="inlineStr">
        <is>
          <t>予約人数（大人）</t>
        </is>
      </c>
      <c r="B4" s="3" t="inlineStr">
        <is>
          <t>公式 1名あたり</t>
        </is>
      </c>
      <c r="C4" s="3" t="inlineStr">
        <is>
          <t>Viator</t>
        </is>
      </c>
      <c r="D4" s="3" t="inlineStr">
        <is>
          <t>GetYourGuide</t>
        </is>
      </c>
      <c r="E4" s="3" t="inlineStr">
        <is>
          <t>Klook</t>
        </is>
      </c>
      <c r="F4" s="3" t="inlineStr">
        <is>
          <t>KKday</t>
        </is>
      </c>
      <c r="G4" s="3" t="inlineStr">
        <is>
          <t>VELTRA</t>
        </is>
      </c>
      <c r="H4" s="3" t="inlineStr">
        <is>
          <t>Travelers Road（卸）</t>
        </is>
      </c>
    </row>
    <row r="5">
      <c r="A5" s="17" t="inlineStr">
        <is>
          <t>1名</t>
        </is>
      </c>
      <c r="B5" s="18">
        <f>'公式価格（段階制）'!B5</f>
        <v/>
      </c>
      <c r="C5" s="13">
        <f>ROUNDUP($B5*(1-前提条件!$B$14)/(1-前提条件!$B$22-前提条件!$B$29),-2)</f>
        <v/>
      </c>
      <c r="D5" s="13">
        <f>ROUNDUP($B5*(1-前提条件!$B$14)/(1-前提条件!$B$23-前提条件!$B$29),-2)</f>
        <v/>
      </c>
      <c r="E5" s="13">
        <f>ROUNDUP($B5*(1-前提条件!$B$14)/(1-前提条件!$B$24-前提条件!$B$29),-2)</f>
        <v/>
      </c>
      <c r="F5" s="13">
        <f>ROUNDUP($B5*(1-前提条件!$B$14)/(1-前提条件!$B$25-前提条件!$B$29),-2)</f>
        <v/>
      </c>
      <c r="G5" s="13">
        <f>ROUNDUP($B5*(1-前提条件!$B$14)/(1-前提条件!$B$26-前提条件!$B$29),-2)</f>
        <v/>
      </c>
      <c r="H5" s="13">
        <f>ROUNDUP($B5*(1-前提条件!$B$14)/(1-前提条件!$B$27-前提条件!$B$29),-2)</f>
        <v/>
      </c>
    </row>
    <row r="6">
      <c r="A6" s="17" t="inlineStr">
        <is>
          <t>2名</t>
        </is>
      </c>
      <c r="B6" s="18">
        <f>'公式価格（段階制）'!B6</f>
        <v/>
      </c>
      <c r="C6" s="13">
        <f>ROUNDUP($B6*(1-前提条件!$B$14)/(1-前提条件!$B$22-前提条件!$B$29),-2)</f>
        <v/>
      </c>
      <c r="D6" s="13">
        <f>ROUNDUP($B6*(1-前提条件!$B$14)/(1-前提条件!$B$23-前提条件!$B$29),-2)</f>
        <v/>
      </c>
      <c r="E6" s="13">
        <f>ROUNDUP($B6*(1-前提条件!$B$14)/(1-前提条件!$B$24-前提条件!$B$29),-2)</f>
        <v/>
      </c>
      <c r="F6" s="13">
        <f>ROUNDUP($B6*(1-前提条件!$B$14)/(1-前提条件!$B$25-前提条件!$B$29),-2)</f>
        <v/>
      </c>
      <c r="G6" s="13">
        <f>ROUNDUP($B6*(1-前提条件!$B$14)/(1-前提条件!$B$26-前提条件!$B$29),-2)</f>
        <v/>
      </c>
      <c r="H6" s="13">
        <f>ROUNDUP($B6*(1-前提条件!$B$14)/(1-前提条件!$B$27-前提条件!$B$29),-2)</f>
        <v/>
      </c>
    </row>
    <row r="7">
      <c r="A7" s="17" t="inlineStr">
        <is>
          <t>3名</t>
        </is>
      </c>
      <c r="B7" s="18">
        <f>'公式価格（段階制）'!B7</f>
        <v/>
      </c>
      <c r="C7" s="13">
        <f>ROUNDUP($B7*(1-前提条件!$B$14)/(1-前提条件!$B$22-前提条件!$B$29),-2)</f>
        <v/>
      </c>
      <c r="D7" s="13">
        <f>ROUNDUP($B7*(1-前提条件!$B$14)/(1-前提条件!$B$23-前提条件!$B$29),-2)</f>
        <v/>
      </c>
      <c r="E7" s="13">
        <f>ROUNDUP($B7*(1-前提条件!$B$14)/(1-前提条件!$B$24-前提条件!$B$29),-2)</f>
        <v/>
      </c>
      <c r="F7" s="13">
        <f>ROUNDUP($B7*(1-前提条件!$B$14)/(1-前提条件!$B$25-前提条件!$B$29),-2)</f>
        <v/>
      </c>
      <c r="G7" s="13">
        <f>ROUNDUP($B7*(1-前提条件!$B$14)/(1-前提条件!$B$26-前提条件!$B$29),-2)</f>
        <v/>
      </c>
      <c r="H7" s="13">
        <f>ROUNDUP($B7*(1-前提条件!$B$14)/(1-前提条件!$B$27-前提条件!$B$29),-2)</f>
        <v/>
      </c>
    </row>
    <row r="8">
      <c r="A8" s="17" t="inlineStr">
        <is>
          <t>4名以上</t>
        </is>
      </c>
      <c r="B8" s="18">
        <f>'公式価格（段階制）'!B8</f>
        <v/>
      </c>
      <c r="C8" s="13">
        <f>ROUNDUP($B8*(1-前提条件!$B$14)/(1-前提条件!$B$22-前提条件!$B$29),-2)</f>
        <v/>
      </c>
      <c r="D8" s="13">
        <f>ROUNDUP($B8*(1-前提条件!$B$14)/(1-前提条件!$B$23-前提条件!$B$29),-2)</f>
        <v/>
      </c>
      <c r="E8" s="13">
        <f>ROUNDUP($B8*(1-前提条件!$B$14)/(1-前提条件!$B$24-前提条件!$B$29),-2)</f>
        <v/>
      </c>
      <c r="F8" s="13">
        <f>ROUNDUP($B8*(1-前提条件!$B$14)/(1-前提条件!$B$25-前提条件!$B$29),-2)</f>
        <v/>
      </c>
      <c r="G8" s="13">
        <f>ROUNDUP($B8*(1-前提条件!$B$14)/(1-前提条件!$B$26-前提条件!$B$29),-2)</f>
        <v/>
      </c>
      <c r="H8" s="13">
        <f>ROUNDUP($B8*(1-前提条件!$B$14)/(1-前提条件!$B$27-前提条件!$B$29),-2)</f>
        <v/>
      </c>
    </row>
    <row r="9">
      <c r="A9" s="6" t="inlineStr">
        <is>
          <t>ハンコ（一律）</t>
        </is>
      </c>
      <c r="B9" s="7" t="n">
        <v>2500</v>
      </c>
      <c r="C9" s="7" t="n">
        <v>3000</v>
      </c>
      <c r="D9" s="7" t="n">
        <v>3000</v>
      </c>
      <c r="E9" s="7" t="n">
        <v>3000</v>
      </c>
      <c r="F9" s="7" t="n">
        <v>3000</v>
      </c>
      <c r="G9" s="7" t="n">
        <v>3000</v>
      </c>
      <c r="H9" s="7" t="n">
        <v>3000</v>
      </c>
    </row>
    <row r="10">
      <c r="A10" s="15" t="inlineStr">
        <is>
          <t>注記</t>
        </is>
      </c>
    </row>
    <row r="11">
      <c r="A11" s="16" t="inlineStr">
        <is>
          <t>・OTAによっては人数別の段階料金を設定できない場合がある。その場合はLINKTIVITY上で「1名プラン」「2名プラン」など人数別プランに分けて登録する（要LINKTIVITY確認）。</t>
        </is>
      </c>
    </row>
    <row r="12">
      <c r="A12" s="16" t="inlineStr">
        <is>
          <t>・Travelers Road（卸）は卸値契約のため、上乗せではなく卸値（ネット価格）で合意する形になる可能性が高い（要確認）。</t>
        </is>
      </c>
    </row>
    <row r="13">
      <c r="A13" t="inlineStr">
        <is>
          <t>・ハンコは費用がかからないため人数に関わらず一律（青字＝入力値）。OTAは売れている¥3,000を維持（Klookの式の値¥3,100との差は1名15円）。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4" customWidth="1" min="4" max="4"/>
    <col width="10" customWidth="1" min="5" max="5"/>
    <col width="12" customWidth="1" min="6" max="6"/>
    <col width="14" customWidth="1" min="7" max="7"/>
    <col width="18" customWidth="1" min="8" max="8"/>
    <col width="16" customWidth="1" min="9" max="9"/>
    <col width="16" customWidth="1" min="10" max="10"/>
  </cols>
  <sheetData>
    <row r="1">
      <c r="A1" s="1" t="inlineStr">
        <is>
          <t>参考：現行価格（一律）で催行した場合の収支（ウォークツアー実績ベース）</t>
        </is>
      </c>
    </row>
    <row r="2">
      <c r="A2" s="2" t="inlineStr">
        <is>
          <t>出典：LINKTIVITY予約CSV（購入日 2025/9/1〜2026/9/24）のウォークツアー確定予約52件・催行51回を参加人数別に集計。</t>
        </is>
      </c>
    </row>
    <row r="4" ht="32" customHeight="1">
      <c r="A4" s="3" t="inlineStr">
        <is>
          <t>催行人数</t>
        </is>
      </c>
      <c r="B4" s="3" t="inlineStr">
        <is>
          <t>催行回数（実績）</t>
        </is>
      </c>
      <c r="C4" s="3" t="inlineStr">
        <is>
          <t>現行公式価格での売上</t>
        </is>
      </c>
      <c r="D4" s="3" t="inlineStr">
        <is>
          <t>ガイド費（特別）</t>
        </is>
      </c>
      <c r="E4" s="3" t="inlineStr">
        <is>
          <t>交通費</t>
        </is>
      </c>
      <c r="F4" s="3" t="inlineStr">
        <is>
          <t>決済手数料</t>
        </is>
      </c>
      <c r="G4" s="3" t="inlineStr">
        <is>
          <t>1回あたり利益</t>
        </is>
      </c>
      <c r="H4" s="3" t="inlineStr">
        <is>
          <t>利益合計（回数×利益）</t>
        </is>
      </c>
      <c r="I4" s="3" t="inlineStr">
        <is>
          <t>新価格での1回の利益</t>
        </is>
      </c>
      <c r="J4" s="3" t="inlineStr">
        <is>
          <t>新価格での利益合計</t>
        </is>
      </c>
    </row>
    <row r="5">
      <c r="A5" s="11" t="n">
        <v>1</v>
      </c>
      <c r="B5" s="19" t="n">
        <v>17</v>
      </c>
      <c r="C5" s="13">
        <f>A5*前提条件!$B$17</f>
        <v/>
      </c>
      <c r="D5" s="13">
        <f>IF(A5&lt;=3,前提条件!$B$6,IF(A5&lt;=6,前提条件!$B$7,前提条件!$B$8))</f>
        <v/>
      </c>
      <c r="E5" s="13">
        <f>前提条件!$B$13</f>
        <v/>
      </c>
      <c r="F5" s="13">
        <f>C5*前提条件!$B$14</f>
        <v/>
      </c>
      <c r="G5" s="13">
        <f>C5-D5-E5-F5</f>
        <v/>
      </c>
      <c r="H5" s="13">
        <f>B5*G5</f>
        <v/>
      </c>
      <c r="I5" s="18">
        <f>INDEX('公式価格（段階制）'!$G$5:$G$14,A5)</f>
        <v/>
      </c>
      <c r="J5" s="13">
        <f>B5*I5</f>
        <v/>
      </c>
    </row>
    <row r="6">
      <c r="A6" s="11" t="n">
        <v>2</v>
      </c>
      <c r="B6" s="19" t="n">
        <v>17</v>
      </c>
      <c r="C6" s="13">
        <f>A6*前提条件!$B$17</f>
        <v/>
      </c>
      <c r="D6" s="13">
        <f>IF(A6&lt;=3,前提条件!$B$6,IF(A6&lt;=6,前提条件!$B$7,前提条件!$B$8))</f>
        <v/>
      </c>
      <c r="E6" s="13">
        <f>前提条件!$B$13</f>
        <v/>
      </c>
      <c r="F6" s="13">
        <f>C6*前提条件!$B$14</f>
        <v/>
      </c>
      <c r="G6" s="13">
        <f>C6-D6-E6-F6</f>
        <v/>
      </c>
      <c r="H6" s="13">
        <f>B6*G6</f>
        <v/>
      </c>
      <c r="I6" s="18">
        <f>INDEX('公式価格（段階制）'!$G$5:$G$14,A6)</f>
        <v/>
      </c>
      <c r="J6" s="13">
        <f>B6*I6</f>
        <v/>
      </c>
    </row>
    <row r="7">
      <c r="A7" s="11" t="n">
        <v>3</v>
      </c>
      <c r="B7" s="19" t="n">
        <v>9</v>
      </c>
      <c r="C7" s="13">
        <f>A7*前提条件!$B$17</f>
        <v/>
      </c>
      <c r="D7" s="13">
        <f>IF(A7&lt;=3,前提条件!$B$6,IF(A7&lt;=6,前提条件!$B$7,前提条件!$B$8))</f>
        <v/>
      </c>
      <c r="E7" s="13">
        <f>前提条件!$B$13</f>
        <v/>
      </c>
      <c r="F7" s="13">
        <f>C7*前提条件!$B$14</f>
        <v/>
      </c>
      <c r="G7" s="13">
        <f>C7-D7-E7-F7</f>
        <v/>
      </c>
      <c r="H7" s="13">
        <f>B7*G7</f>
        <v/>
      </c>
      <c r="I7" s="18">
        <f>INDEX('公式価格（段階制）'!$G$5:$G$14,A7)</f>
        <v/>
      </c>
      <c r="J7" s="13">
        <f>B7*I7</f>
        <v/>
      </c>
    </row>
    <row r="8">
      <c r="A8" s="11" t="n">
        <v>4</v>
      </c>
      <c r="B8" s="19" t="n">
        <v>4</v>
      </c>
      <c r="C8" s="13">
        <f>A8*前提条件!$B$17</f>
        <v/>
      </c>
      <c r="D8" s="13">
        <f>IF(A8&lt;=3,前提条件!$B$6,IF(A8&lt;=6,前提条件!$B$7,前提条件!$B$8))</f>
        <v/>
      </c>
      <c r="E8" s="13">
        <f>前提条件!$B$13</f>
        <v/>
      </c>
      <c r="F8" s="13">
        <f>C8*前提条件!$B$14</f>
        <v/>
      </c>
      <c r="G8" s="13">
        <f>C8-D8-E8-F8</f>
        <v/>
      </c>
      <c r="H8" s="13">
        <f>B8*G8</f>
        <v/>
      </c>
      <c r="I8" s="18">
        <f>INDEX('公式価格（段階制）'!$G$5:$G$14,A8)</f>
        <v/>
      </c>
      <c r="J8" s="13">
        <f>B8*I8</f>
        <v/>
      </c>
    </row>
    <row r="9">
      <c r="A9" s="11" t="n">
        <v>5</v>
      </c>
      <c r="B9" s="19" t="n">
        <v>3</v>
      </c>
      <c r="C9" s="13">
        <f>A9*前提条件!$B$17</f>
        <v/>
      </c>
      <c r="D9" s="13">
        <f>IF(A9&lt;=3,前提条件!$B$6,IF(A9&lt;=6,前提条件!$B$7,前提条件!$B$8))</f>
        <v/>
      </c>
      <c r="E9" s="13">
        <f>前提条件!$B$13</f>
        <v/>
      </c>
      <c r="F9" s="13">
        <f>C9*前提条件!$B$14</f>
        <v/>
      </c>
      <c r="G9" s="13">
        <f>C9-D9-E9-F9</f>
        <v/>
      </c>
      <c r="H9" s="13">
        <f>B9*G9</f>
        <v/>
      </c>
      <c r="I9" s="18">
        <f>INDEX('公式価格（段階制）'!$G$5:$G$14,A9)</f>
        <v/>
      </c>
      <c r="J9" s="13">
        <f>B9*I9</f>
        <v/>
      </c>
    </row>
    <row r="10">
      <c r="A10" s="11" t="n">
        <v>7</v>
      </c>
      <c r="B10" s="19" t="n">
        <v>1</v>
      </c>
      <c r="C10" s="13">
        <f>A10*前提条件!$B$17</f>
        <v/>
      </c>
      <c r="D10" s="13">
        <f>IF(A10&lt;=3,前提条件!$B$6,IF(A10&lt;=6,前提条件!$B$7,前提条件!$B$8))</f>
        <v/>
      </c>
      <c r="E10" s="13">
        <f>前提条件!$B$13</f>
        <v/>
      </c>
      <c r="F10" s="13">
        <f>C10*前提条件!$B$14</f>
        <v/>
      </c>
      <c r="G10" s="13">
        <f>C10-D10-E10-F10</f>
        <v/>
      </c>
      <c r="H10" s="13">
        <f>B10*G10</f>
        <v/>
      </c>
      <c r="I10" s="18">
        <f>INDEX('公式価格（段階制）'!$G$5:$G$14,A10)</f>
        <v/>
      </c>
      <c r="J10" s="13">
        <f>B10*I10</f>
        <v/>
      </c>
    </row>
    <row r="11">
      <c r="A11" s="15" t="inlineStr">
        <is>
          <t>合計</t>
        </is>
      </c>
      <c r="B11" s="15">
        <f>SUM(B5:B10)</f>
        <v/>
      </c>
      <c r="H11" s="20">
        <f>SUM(H5:H10)</f>
        <v/>
      </c>
      <c r="J11" s="20">
        <f>SUM(J5:J10)</f>
        <v/>
      </c>
    </row>
    <row r="12">
      <c r="A12" s="15" t="inlineStr">
        <is>
          <t>赤字催行の回数</t>
        </is>
      </c>
      <c r="B12" s="15">
        <f>SUMIF(G5:G10,"&lt;0",B5:B10)</f>
        <v/>
      </c>
    </row>
    <row r="14">
      <c r="A14" s="16" t="inlineStr">
        <is>
          <t>・全件を公式価格（¥2,500）で計算した試算。OTA経由分は手取りがさらに低い（Klook 77%・Travelers Road 80%、公式直販 93%）。ガイド費は特別単価を当てはめた仮定で、過去の実際のガイド費とは異なる。ハンコツアー（費用なし）も同じガイド費で計算しているため、赤字回数は実際より多く出ている。</t>
        </is>
      </c>
    </row>
    <row r="15">
      <c r="A15" s="16" t="inlineStr">
        <is>
          <t>・子ども（12歳以下無料）はCSVに人数が記録されていないため含まない。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t="inlineStr">
        <is>
          <t>2026年9月の実績（購入日 9/1〜9/30）：チャネル×人数別の手取りと利益、新価格での試算</t>
        </is>
      </c>
    </row>
    <row r="2">
      <c r="A2" t="inlineStr">
        <is>
          <t>出典：LINKTIVITY 予約一覧・取引明細（集計値のみ。個人情報は含めない）。テスト予約1件・旅行者キャンセル3件は除外。1予約＝1催行と仮定。新価格の列は同じ予約が同じ件数入った場合の試算（推測）。</t>
        </is>
      </c>
    </row>
    <row r="4">
      <c r="A4" s="22" t="inlineStr">
        <is>
          <t>チャネル</t>
        </is>
      </c>
      <c r="B4" s="22" t="inlineStr">
        <is>
          <t>ツアー</t>
        </is>
      </c>
      <c r="C4" s="22" t="inlineStr">
        <is>
          <t>人数（大人）</t>
        </is>
      </c>
      <c r="D4" s="22" t="inlineStr">
        <is>
          <t>予約数</t>
        </is>
      </c>
      <c r="E4" s="22" t="inlineStr">
        <is>
          <t>現行単価</t>
        </is>
      </c>
      <c r="F4" s="22" t="inlineStr">
        <is>
          <t>OTA手数料率</t>
        </is>
      </c>
      <c r="G4" s="22" t="inlineStr">
        <is>
          <t>システム利用料率</t>
        </is>
      </c>
      <c r="H4" s="22" t="inlineStr">
        <is>
          <t>手取り率</t>
        </is>
      </c>
      <c r="I4" s="22" t="inlineStr">
        <is>
          <t>現行の手取り</t>
        </is>
      </c>
      <c r="J4" s="22" t="inlineStr">
        <is>
          <t>催行コスト</t>
        </is>
      </c>
      <c r="K4" s="22" t="inlineStr">
        <is>
          <t>現行の利益</t>
        </is>
      </c>
      <c r="L4" s="22" t="inlineStr">
        <is>
          <t>新単価</t>
        </is>
      </c>
      <c r="M4" s="22" t="inlineStr">
        <is>
          <t>新価格の手取り</t>
        </is>
      </c>
      <c r="N4" s="22" t="inlineStr">
        <is>
          <t>新価格の利益</t>
        </is>
      </c>
    </row>
    <row r="5">
      <c r="A5" t="inlineStr">
        <is>
          <t>Klook</t>
        </is>
      </c>
      <c r="B5" t="inlineStr">
        <is>
          <t>ハンコ</t>
        </is>
      </c>
      <c r="C5" t="n">
        <v>1</v>
      </c>
      <c r="D5" t="n">
        <v>6</v>
      </c>
      <c r="E5" s="23" t="n">
        <v>3000</v>
      </c>
      <c r="F5" s="24">
        <f>前提条件!$B$24</f>
        <v/>
      </c>
      <c r="G5" s="24">
        <f>前提条件!$B$29</f>
        <v/>
      </c>
      <c r="H5" s="24">
        <f>1-F5-G5</f>
        <v/>
      </c>
      <c r="I5" s="23">
        <f>E5*C5*D5*H5</f>
        <v/>
      </c>
      <c r="J5" s="23">
        <f>前提条件!$B$19*D5</f>
        <v/>
      </c>
      <c r="K5" s="23">
        <f>I5-J5</f>
        <v/>
      </c>
      <c r="L5" s="23">
        <f>'OTA価格'!$E$9</f>
        <v/>
      </c>
      <c r="M5" s="23">
        <f>L5*C5*D5*H5</f>
        <v/>
      </c>
      <c r="N5" s="23">
        <f>M5-J5</f>
        <v/>
      </c>
    </row>
    <row r="6">
      <c r="A6" t="inlineStr">
        <is>
          <t>Klook</t>
        </is>
      </c>
      <c r="B6" t="inlineStr">
        <is>
          <t>ハンコ</t>
        </is>
      </c>
      <c r="C6" t="n">
        <v>2</v>
      </c>
      <c r="D6" t="n">
        <v>7</v>
      </c>
      <c r="E6" s="23" t="n">
        <v>3000</v>
      </c>
      <c r="F6" s="24">
        <f>前提条件!$B$24</f>
        <v/>
      </c>
      <c r="G6" s="24">
        <f>前提条件!$B$29</f>
        <v/>
      </c>
      <c r="H6" s="24">
        <f>1-F6-G6</f>
        <v/>
      </c>
      <c r="I6" s="23">
        <f>E6*C6*D6*H6</f>
        <v/>
      </c>
      <c r="J6" s="23">
        <f>前提条件!$B$19*D6</f>
        <v/>
      </c>
      <c r="K6" s="23">
        <f>I6-J6</f>
        <v/>
      </c>
      <c r="L6" s="23">
        <f>'OTA価格'!$E$9</f>
        <v/>
      </c>
      <c r="M6" s="23">
        <f>L6*C6*D6*H6</f>
        <v/>
      </c>
      <c r="N6" s="23">
        <f>M6-J6</f>
        <v/>
      </c>
    </row>
    <row r="7">
      <c r="A7" t="inlineStr">
        <is>
          <t>Klook</t>
        </is>
      </c>
      <c r="B7" t="inlineStr">
        <is>
          <t>ハンコ</t>
        </is>
      </c>
      <c r="C7" t="n">
        <v>4</v>
      </c>
      <c r="D7" t="n">
        <v>1</v>
      </c>
      <c r="E7" s="23" t="n">
        <v>3000</v>
      </c>
      <c r="F7" s="24">
        <f>前提条件!$B$24</f>
        <v/>
      </c>
      <c r="G7" s="24">
        <f>前提条件!$B$29</f>
        <v/>
      </c>
      <c r="H7" s="24">
        <f>1-F7-G7</f>
        <v/>
      </c>
      <c r="I7" s="23">
        <f>E7*C7*D7*H7</f>
        <v/>
      </c>
      <c r="J7" s="23">
        <f>前提条件!$B$19*D7</f>
        <v/>
      </c>
      <c r="K7" s="23">
        <f>I7-J7</f>
        <v/>
      </c>
      <c r="L7" s="23">
        <f>'OTA価格'!$E$9</f>
        <v/>
      </c>
      <c r="M7" s="23">
        <f>L7*C7*D7*H7</f>
        <v/>
      </c>
      <c r="N7" s="23">
        <f>M7-J7</f>
        <v/>
      </c>
    </row>
    <row r="8">
      <c r="A8" t="inlineStr">
        <is>
          <t>Travelers Road</t>
        </is>
      </c>
      <c r="B8" t="inlineStr">
        <is>
          <t>秘境神社</t>
        </is>
      </c>
      <c r="C8" t="n">
        <v>2</v>
      </c>
      <c r="D8" t="n">
        <v>1</v>
      </c>
      <c r="E8" s="23" t="n">
        <v>3000</v>
      </c>
      <c r="F8" s="24">
        <f>前提条件!$B$27</f>
        <v/>
      </c>
      <c r="G8" s="24">
        <f>前提条件!$B$29</f>
        <v/>
      </c>
      <c r="H8" s="24">
        <f>1-F8-G8</f>
        <v/>
      </c>
      <c r="I8" s="23">
        <f>E8*C8*D8*H8</f>
        <v/>
      </c>
      <c r="J8" s="23">
        <f>(IF(C8&lt;=3,前提条件!$B$6,IF(C8&lt;=6,前提条件!$B$7,前提条件!$B$8))+前提条件!$B$13)*D8</f>
        <v/>
      </c>
      <c r="K8" s="23">
        <f>I8-J8</f>
        <v/>
      </c>
      <c r="L8" s="23">
        <f>INDEX('OTA価格'!$H$5:$H$8,MIN(C8,4))</f>
        <v/>
      </c>
      <c r="M8" s="23">
        <f>L8*C8*D8*H8</f>
        <v/>
      </c>
      <c r="N8" s="23">
        <f>M8-J8</f>
        <v/>
      </c>
    </row>
    <row r="9">
      <c r="A9" t="inlineStr">
        <is>
          <t>Travelers Road</t>
        </is>
      </c>
      <c r="B9" t="inlineStr">
        <is>
          <t>秘境神社</t>
        </is>
      </c>
      <c r="C9" t="n">
        <v>3</v>
      </c>
      <c r="D9" t="n">
        <v>2</v>
      </c>
      <c r="E9" s="23" t="n">
        <v>3000</v>
      </c>
      <c r="F9" s="24">
        <f>前提条件!$B$27</f>
        <v/>
      </c>
      <c r="G9" s="24">
        <f>前提条件!$B$29</f>
        <v/>
      </c>
      <c r="H9" s="24">
        <f>1-F9-G9</f>
        <v/>
      </c>
      <c r="I9" s="23">
        <f>E9*C9*D9*H9</f>
        <v/>
      </c>
      <c r="J9" s="23">
        <f>(IF(C9&lt;=3,前提条件!$B$6,IF(C9&lt;=6,前提条件!$B$7,前提条件!$B$8))+前提条件!$B$13)*D9</f>
        <v/>
      </c>
      <c r="K9" s="23">
        <f>I9-J9</f>
        <v/>
      </c>
      <c r="L9" s="23">
        <f>INDEX('OTA価格'!$H$5:$H$8,MIN(C9,4))</f>
        <v/>
      </c>
      <c r="M9" s="23">
        <f>L9*C9*D9*H9</f>
        <v/>
      </c>
      <c r="N9" s="23">
        <f>M9-J9</f>
        <v/>
      </c>
    </row>
    <row r="10">
      <c r="A10" t="inlineStr">
        <is>
          <t>Travelers Road</t>
        </is>
      </c>
      <c r="B10" t="inlineStr">
        <is>
          <t>秘境神社</t>
        </is>
      </c>
      <c r="C10" t="n">
        <v>5</v>
      </c>
      <c r="D10" t="n">
        <v>1</v>
      </c>
      <c r="E10" s="23" t="n">
        <v>3000</v>
      </c>
      <c r="F10" s="24">
        <f>前提条件!$B$27</f>
        <v/>
      </c>
      <c r="G10" s="24">
        <f>前提条件!$B$29</f>
        <v/>
      </c>
      <c r="H10" s="24">
        <f>1-F10-G10</f>
        <v/>
      </c>
      <c r="I10" s="23">
        <f>E10*C10*D10*H10</f>
        <v/>
      </c>
      <c r="J10" s="23">
        <f>(IF(C10&lt;=3,前提条件!$B$6,IF(C10&lt;=6,前提条件!$B$7,前提条件!$B$8))+前提条件!$B$13)*D10</f>
        <v/>
      </c>
      <c r="K10" s="23">
        <f>I10-J10</f>
        <v/>
      </c>
      <c r="L10" s="23">
        <f>INDEX('OTA価格'!$H$5:$H$8,MIN(C10,4))</f>
        <v/>
      </c>
      <c r="M10" s="23">
        <f>L10*C10*D10*H10</f>
        <v/>
      </c>
      <c r="N10" s="23">
        <f>M10-J10</f>
        <v/>
      </c>
    </row>
    <row r="11">
      <c r="A11" t="inlineStr">
        <is>
          <t>公式直販</t>
        </is>
      </c>
      <c r="B11" t="inlineStr">
        <is>
          <t>二丁目</t>
        </is>
      </c>
      <c r="C11" t="n">
        <v>1</v>
      </c>
      <c r="D11" t="n">
        <v>1</v>
      </c>
      <c r="E11" s="23" t="n">
        <v>2500</v>
      </c>
      <c r="F11" s="24" t="n">
        <v>0</v>
      </c>
      <c r="G11" s="24">
        <f>前提条件!$B$14</f>
        <v/>
      </c>
      <c r="H11" s="24">
        <f>1-F11-G11</f>
        <v/>
      </c>
      <c r="I11" s="23">
        <f>E11*C11*D11*H11</f>
        <v/>
      </c>
      <c r="J11" s="23">
        <f>(IF(C11&lt;=3,前提条件!$B$6,IF(C11&lt;=6,前提条件!$B$7,前提条件!$B$8))+前提条件!$B$13)*D11</f>
        <v/>
      </c>
      <c r="K11" s="23">
        <f>I11-J11</f>
        <v/>
      </c>
      <c r="L11" s="23">
        <f>INDEX('公式価格（段階制）'!$B$5:$B$8,MIN(C11,4))</f>
        <v/>
      </c>
      <c r="M11" s="23">
        <f>L11*C11*D11*H11</f>
        <v/>
      </c>
      <c r="N11" s="23">
        <f>M11-J11</f>
        <v/>
      </c>
    </row>
    <row r="12">
      <c r="A12" s="25" t="inlineStr">
        <is>
          <t>合計</t>
        </is>
      </c>
      <c r="C12" s="25">
        <f>SUMPRODUCT(C5:C11,D5:D11)</f>
        <v/>
      </c>
      <c r="D12" s="25">
        <f>SUM(D5:D11)</f>
        <v/>
      </c>
      <c r="I12" s="26">
        <f>SUM(I5:I11)</f>
        <v/>
      </c>
      <c r="J12" s="26">
        <f>SUM(J5:J11)</f>
        <v/>
      </c>
      <c r="K12" s="26">
        <f>SUM(K5:K11)</f>
        <v/>
      </c>
      <c r="M12" s="26">
        <f>SUM(M5:M11)</f>
        <v/>
      </c>
      <c r="N12" s="26">
        <f>SUM(N5:N11)</f>
        <v/>
      </c>
    </row>
    <row r="13">
      <c r="A13" t="inlineStr">
        <is>
          <t>キャンセルで戻らなかったシステム利用料</t>
        </is>
      </c>
      <c r="K13" s="23" t="n">
        <v>-630</v>
      </c>
    </row>
    <row r="15">
      <c r="A15" t="inlineStr">
        <is>
          <t>読み方</t>
        </is>
      </c>
    </row>
    <row r="16">
      <c r="A16" t="inlineStr">
        <is>
          <t>・利益の大半はKlook経由のハンコ（費用なし）。Reeluが案内するツアーは現行の一律価格だと1〜2名で赤字、段階制なら全人数で黒字。</t>
        </is>
      </c>
    </row>
    <row r="17">
      <c r="A17" t="inlineStr">
        <is>
          <t>・新価格の列は需要が変わらない前提の試算。値上げで予約数が減る影響は含まない（推測）。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2026-09-25T02:53:53Z</dcterms:created>
  <dcterms:modified xsi:type="dcterms:W3CDTF">2026-10-02T04:14:33Z</dcterms:modified>
</cp:coreProperties>
</file>